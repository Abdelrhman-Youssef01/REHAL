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f01d58b37dcbd30/Desktop/project DEPI/"/>
    </mc:Choice>
  </mc:AlternateContent>
  <xr:revisionPtr revIDLastSave="1" documentId="11_C4913683BD26BC54D690116FA91111886CE11EE0" xr6:coauthVersionLast="47" xr6:coauthVersionMax="47" xr10:uidLastSave="{4318FF3B-B6FD-4185-B025-7F84398D580A}"/>
  <bookViews>
    <workbookView xWindow="-108" yWindow="372" windowWidth="23256" windowHeight="12696" tabRatio="500" activeTab="3" xr2:uid="{00000000-000D-0000-FFFF-FFFF00000000}"/>
  </bookViews>
  <sheets>
    <sheet name="Content Calendar" sheetId="1" r:id="rId1"/>
    <sheet name="Summary" sheetId="2" r:id="rId2"/>
    <sheet name="Team &amp; Roles" sheetId="3" r:id="rId3"/>
    <sheet name="Weekly KPIs" sheetId="4" r:id="rId4"/>
  </sheets>
  <definedNames>
    <definedName name="_xlnm._FilterDatabase" localSheetId="0" hidden="1">'Content Calendar'!$A$1:$O$29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" i="4" l="1"/>
  <c r="I10" i="4"/>
  <c r="H10" i="4"/>
  <c r="G10" i="4"/>
  <c r="F10" i="4"/>
  <c r="J10" i="4" s="1"/>
  <c r="E10" i="4"/>
  <c r="J9" i="4"/>
  <c r="D9" i="4"/>
  <c r="J8" i="4"/>
  <c r="D8" i="4"/>
  <c r="J7" i="4"/>
  <c r="D7" i="4"/>
  <c r="J6" i="4"/>
  <c r="D6" i="4"/>
  <c r="J5" i="4"/>
  <c r="D5" i="4"/>
  <c r="J4" i="4"/>
  <c r="D4" i="4"/>
  <c r="D10" i="4" s="1"/>
  <c r="J3" i="4"/>
  <c r="B44" i="2"/>
  <c r="B43" i="2"/>
  <c r="B42" i="2"/>
  <c r="B41" i="2"/>
  <c r="B45" i="2" s="1"/>
  <c r="B36" i="2"/>
  <c r="B35" i="2"/>
  <c r="B34" i="2"/>
  <c r="B33" i="2"/>
  <c r="B32" i="2"/>
  <c r="B37" i="2" s="1"/>
  <c r="B27" i="2"/>
  <c r="B26" i="2"/>
  <c r="B25" i="2"/>
  <c r="B24" i="2"/>
  <c r="B23" i="2"/>
  <c r="B22" i="2"/>
  <c r="B28" i="2" s="1"/>
  <c r="B17" i="2"/>
  <c r="B16" i="2"/>
  <c r="B15" i="2"/>
  <c r="B14" i="2"/>
  <c r="B13" i="2"/>
  <c r="B12" i="2"/>
  <c r="B18" i="2" s="1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<sst xmlns="http://schemas.openxmlformats.org/spreadsheetml/2006/main" count="346" uniqueCount="125">
  <si>
    <t>#</t>
  </si>
  <si>
    <t>الأسبوع</t>
  </si>
  <si>
    <t>التاريخ</t>
  </si>
  <si>
    <t>اليوم</t>
  </si>
  <si>
    <t>المنصات</t>
  </si>
  <si>
    <t>الفورمات</t>
  </si>
  <si>
    <t>شكل النشر</t>
  </si>
  <si>
    <t>المحور (Pillar)</t>
  </si>
  <si>
    <t>الفكرة</t>
  </si>
  <si>
    <t>المسؤول</t>
  </si>
  <si>
    <t>المراجع</t>
  </si>
  <si>
    <t>الكابشن</t>
  </si>
  <si>
    <t>الهاشتاجات</t>
  </si>
  <si>
    <t>رابط التصميم/الفيديو</t>
  </si>
  <si>
    <t>الحالة</t>
  </si>
  <si>
    <t>السبت</t>
  </si>
  <si>
    <t>LinkedIn + Facebook + Instagram + TikTok</t>
  </si>
  <si>
    <t>نص + صورة</t>
  </si>
  <si>
    <t>بوست صورة على LinkedIn + FB + IG + TikTok (Photo Mode)</t>
  </si>
  <si>
    <t>اكتشف التجربة</t>
  </si>
  <si>
    <t>تعريف: «رِحال... نكتشف التجربة، نحجزها، ونعيشها»</t>
  </si>
  <si>
    <t>ساندي</t>
  </si>
  <si>
    <t>عبدالرحمن</t>
  </si>
  <si>
    <t>لم يبدأ</t>
  </si>
  <si>
    <t>الأحد</t>
  </si>
  <si>
    <t>YouTube Shorts + Instagram + TikTok + Facebook</t>
  </si>
  <si>
    <t>فيديو Reel</t>
  </si>
  <si>
    <t>نفس الـ Reel على YouTube Shorts + IG + TikTok + FB (من غير Watermark + ميوزك ترند)</t>
  </si>
  <si>
    <t>تيزر: مشاهد من (صحرا، جبل، أكل، حرف) مع سؤال «إيه آخر تجربة مختلفة عشتها؟»</t>
  </si>
  <si>
    <t>يمنى</t>
  </si>
  <si>
    <t>الثلاثاء</t>
  </si>
  <si>
    <t>كاروسيل</t>
  </si>
  <si>
    <t>كاروسيل على LinkedIn + FB + IG + TikTok (Photo Mode + ميوزك ترند)</t>
  </si>
  <si>
    <t>نصايح ومعلومات</t>
  </si>
  <si>
    <t>المشكلة: 5 مواقف بتخليك مش لاقي تجربة تتحجز بسهولة</t>
  </si>
  <si>
    <t>صفا</t>
  </si>
  <si>
    <t>الخميس</t>
  </si>
  <si>
    <t>Instagram + Facebook</t>
  </si>
  <si>
    <t>Poll/ستوري</t>
  </si>
  <si>
    <t>ستوري بملصق Poll على IG + استفتاء على صفحة FB</t>
  </si>
  <si>
    <t>تفاعل</t>
  </si>
  <si>
    <t>بتحب أنهي نوع؟ Camping / Hiking / أكل / حرف</t>
  </si>
  <si>
    <t>شذا</t>
  </si>
  <si>
    <t>الجمعة</t>
  </si>
  <si>
    <t>كيف رِحال بتشتغل؟ 3 خطوات: اكتشف ← احجز ← عيش</t>
  </si>
  <si>
    <t>الفريق كله</t>
  </si>
  <si>
    <t>5 تجارب تنفع تعملها في الشتا في مصر</t>
  </si>
  <si>
    <t>يوم كامل في تجربة Camping (لقطات سريعة)</t>
  </si>
  <si>
    <t>Spotlight: تجربة هايكنج مع وصف وسعر تقريبي</t>
  </si>
  <si>
    <t>Quiz: شخصيتك إيه؟ مغامر ولا رايق ولا بتاع أكل؟</t>
  </si>
  <si>
    <t>ثقة وآراء</t>
  </si>
  <si>
    <t>Behind the scenes: إزاي بنختار التجارب؟</t>
  </si>
  <si>
    <t>أصحاب التجارب</t>
  </si>
  <si>
    <t>دعوة: عندك تجربة؟ انضم لرِحال ووصّل لعملاء أكتر</t>
  </si>
  <si>
    <t>ليه تنضم كـ Host؟ (وصول، حجز سهل، عمولة بس على الحجز)</t>
  </si>
  <si>
    <t>قصة Host (حِرفي أو منظم رحلات) في 30 ثانية</t>
  </si>
  <si>
    <t>إنفوجراف</t>
  </si>
  <si>
    <t>إنفوجراف (صورة/كاروسيل) على LinkedIn + FB + IG + TikTok</t>
  </si>
  <si>
    <t>رحلة الحجز من الـ Host لحد العميل</t>
  </si>
  <si>
    <t>لو عندك تجربة، إيه أكتر حاجة بتواجهك في التسويق؟</t>
  </si>
  <si>
    <t>تجارب أكل محلي لازم تجربها (أكلات بلدي وتجارب طبخ)</t>
  </si>
  <si>
    <t>ورشة حرف يدوية (فخار/نسيج) من أول الخامة للمنتج</t>
  </si>
  <si>
    <t>تجربة ثقافية: جولة محلية مختلفة بعيد عن الزحمة</t>
  </si>
  <si>
    <t>نصايح: إزاي تحجز تجربة آمنة ومضمونة؟</t>
  </si>
  <si>
    <t>TikTok</t>
  </si>
  <si>
    <t>تحدي تفاعلي</t>
  </si>
  <si>
    <t>فيديو Challenge + دعوة Duet/Stitch</t>
  </si>
  <si>
    <t>«خمّن المكان»: صورة غامضة والكومنتات تخمن</t>
  </si>
  <si>
    <t>English: Authentic local experiences in Egypt - 5 things to try</t>
  </si>
  <si>
    <t>تجربة سائح أجنبي مع Host مصري (Subtitles)</t>
  </si>
  <si>
    <t>Packing list: جهّز شنطتك لرحلة Camping</t>
  </si>
  <si>
    <t>Behind the scenes من الـ Hosts: أمان، تجهيزات، تفاصيل</t>
  </si>
  <si>
    <t>عروض وحجز</t>
  </si>
  <si>
    <t>عرض Black Friday على أول حجوزات (لو الميزانية والـ Hosts يسمحوا)</t>
  </si>
  <si>
    <t>Recap: أحلى لحظات الشهر في فيديو واحد</t>
  </si>
  <si>
    <t>أكتر 5 تجارب اتفاعل معاها الجمهور + شكر</t>
  </si>
  <si>
    <t>الإثنين</t>
  </si>
  <si>
    <t>«الشتا بدأ... احجز تجربتك الجاية» + CTA للحجز</t>
  </si>
  <si>
    <t>حسب المنصة (البوست الواحد بيتحسب على كل منصة بينزل عليها)</t>
  </si>
  <si>
    <t>البند</t>
  </si>
  <si>
    <t>عدد البوستات</t>
  </si>
  <si>
    <t>Instagram</t>
  </si>
  <si>
    <t>Facebook</t>
  </si>
  <si>
    <t>LinkedIn</t>
  </si>
  <si>
    <t>YouTube Shorts</t>
  </si>
  <si>
    <t>عدد البوستات الفريدة</t>
  </si>
  <si>
    <t>حسب الفورمات</t>
  </si>
  <si>
    <t>الإجمالي</t>
  </si>
  <si>
    <t>حسب المحور</t>
  </si>
  <si>
    <t>حسب المسؤول</t>
  </si>
  <si>
    <t>حسب الحالة</t>
  </si>
  <si>
    <t>قيد التنفيذ</t>
  </si>
  <si>
    <t>جاهز للمراجعة</t>
  </si>
  <si>
    <t>تم النشر</t>
  </si>
  <si>
    <t>الاسم</t>
  </si>
  <si>
    <t>الدور في الفريق</t>
  </si>
  <si>
    <t>الدور في الـ Content Calendar</t>
  </si>
  <si>
    <t>عبدالرحمن يوسف إبراهيم علي</t>
  </si>
  <si>
    <t>Team Leader: التنسيق، إدارة GitHub وGoogle Drive، المراجعة النهائية والتسليم</t>
  </si>
  <si>
    <t>مراجعة وموافقة على كل البوستات + بوست أسبوعي باسمه (جمعة، وإثنين 30/11)، وبوستاته بيراجعها الفريق كله</t>
  </si>
  <si>
    <t>صفا محمد عبدالفتاح السرسي</t>
  </si>
  <si>
    <t>Situation Analysis: أبحاث السوق، الجمهور المستهدف، تحليل المنافسين</t>
  </si>
  <si>
    <t>الأفكار والريسيرش (ترندات، منافسين، معلومات) + الكاروسيلات</t>
  </si>
  <si>
    <t>ساندي محمد عبدالله أبوزيد</t>
  </si>
  <si>
    <t>Objectives &amp; Strategy: أهداف SMART، الـ Positioning، نموذج العمولة</t>
  </si>
  <si>
    <t>الكابشنز والـ CTA وصوت البراند + بوستات النص والصورة</t>
  </si>
  <si>
    <t>شذا علاء عنتر حجاج</t>
  </si>
  <si>
    <t>Tactics: خطة المحتوى، قنوات السوشيال، أفكار الحملات</t>
  </si>
  <si>
    <t>مسؤولة الـ Content Plan والنشر والجدولة + بوستات التفاعل</t>
  </si>
  <si>
    <t>يمنى عماد مصطفى شند</t>
  </si>
  <si>
    <t>Action &amp; Control: الجدول الزمني، الميزانية، الـ KPIs، تتبع الأداء</t>
  </si>
  <si>
    <t>التصميم/المونتاج + تتبع الـ KPIs أسبوعياً</t>
  </si>
  <si>
    <t>المشرف: د. تامر المغازي</t>
  </si>
  <si>
    <t>تتبع الأداء الأسبوعي (تملاه يمنى) - الخلايا الزرقاء = إدخال يدوي، السوداء = معادلات</t>
  </si>
  <si>
    <t>من</t>
  </si>
  <si>
    <t>إلى</t>
  </si>
  <si>
    <t>عدد البوستات (مخطط)</t>
  </si>
  <si>
    <t>Reach</t>
  </si>
  <si>
    <t>Engagements</t>
  </si>
  <si>
    <t>Saves + Shares</t>
  </si>
  <si>
    <t>Clicks على اللينك</t>
  </si>
  <si>
    <t>استفسارات/حجوزات</t>
  </si>
  <si>
    <t>Engagement Rate</t>
  </si>
  <si>
    <t>TikTok Views</t>
  </si>
  <si>
    <t>مثال (مش بيتحسب)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</si>
</sst>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i/>
      <sz val="10"/>
      <color rgb="FF808080"/>
      <name val="Arial"/>
      <charset val="1"/>
    </font>
    <font>
      <sz val="10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DF2E3"/>
        <bgColor rgb="FFFFF8DC"/>
      </patternFill>
    </fill>
    <fill>
      <patternFill patternType="solid">
        <fgColor rgb="FFE8F3EE"/>
        <bgColor rgb="FFEAF0FA"/>
      </patternFill>
    </fill>
    <fill>
      <patternFill patternType="solid">
        <fgColor rgb="FFEAF0FA"/>
        <bgColor rgb="FFE8F3EE"/>
      </patternFill>
    </fill>
    <fill>
      <patternFill patternType="solid">
        <fgColor rgb="FFF6EAF5"/>
        <bgColor rgb="FFEDEDED"/>
      </patternFill>
    </fill>
    <fill>
      <patternFill patternType="solid">
        <fgColor rgb="FFFFF8DC"/>
        <bgColor rgb="FFFDF2E3"/>
      </patternFill>
    </fill>
    <fill>
      <patternFill patternType="solid">
        <fgColor rgb="FFEDEDED"/>
        <bgColor rgb="FFEA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right" vertical="center" wrapText="1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6" fillId="0" borderId="0" xfId="0" applyFont="1"/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E8F3EE"/>
      <rgbColor rgb="FF660066"/>
      <rgbColor rgb="FFFF8080"/>
      <rgbColor rgb="FF0066CC"/>
      <rgbColor rgb="FFF6EA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A"/>
      <rgbColor rgb="FFEDEDED"/>
      <rgbColor rgb="FFFDF2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rightToLeft="1" zoomScaleNormal="100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C30" sqref="C30"/>
    </sheetView>
  </sheetViews>
  <sheetFormatPr defaultColWidth="8.6640625" defaultRowHeight="14.4" x14ac:dyDescent="0.3"/>
  <cols>
    <col min="1" max="1" width="5" customWidth="1"/>
    <col min="2" max="2" width="9" customWidth="1"/>
    <col min="3" max="3" width="13" customWidth="1"/>
    <col min="4" max="4" width="10" customWidth="1"/>
    <col min="5" max="5" width="30" customWidth="1"/>
    <col min="6" max="6" width="14" customWidth="1"/>
    <col min="7" max="7" width="44" customWidth="1"/>
    <col min="8" max="8" width="17" customWidth="1"/>
    <col min="9" max="9" width="52" customWidth="1"/>
    <col min="10" max="10" width="11" customWidth="1"/>
    <col min="11" max="11" width="12" customWidth="1"/>
    <col min="12" max="12" width="40" customWidth="1"/>
    <col min="13" max="14" width="24" customWidth="1"/>
    <col min="15" max="15" width="15" customWidth="1"/>
  </cols>
  <sheetData>
    <row r="1" spans="1:15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9.75" customHeight="1" x14ac:dyDescent="0.3">
      <c r="A2" s="2">
        <v>1</v>
      </c>
      <c r="B2" s="2">
        <v>1</v>
      </c>
      <c r="C2" s="3">
        <v>46319</v>
      </c>
      <c r="D2" s="2" t="s">
        <v>15</v>
      </c>
      <c r="E2" s="2" t="s">
        <v>16</v>
      </c>
      <c r="F2" s="2" t="s">
        <v>17</v>
      </c>
      <c r="G2" s="4" t="s">
        <v>18</v>
      </c>
      <c r="H2" s="2" t="s">
        <v>19</v>
      </c>
      <c r="I2" s="4" t="s">
        <v>20</v>
      </c>
      <c r="J2" s="2" t="s">
        <v>21</v>
      </c>
      <c r="K2" s="2" t="s">
        <v>22</v>
      </c>
      <c r="L2" s="4"/>
      <c r="M2" s="4"/>
      <c r="N2" s="4"/>
      <c r="O2" s="2" t="s">
        <v>23</v>
      </c>
    </row>
    <row r="3" spans="1:15" ht="39.75" customHeight="1" x14ac:dyDescent="0.3">
      <c r="A3" s="2">
        <v>2</v>
      </c>
      <c r="B3" s="2">
        <v>1</v>
      </c>
      <c r="C3" s="3">
        <v>46320</v>
      </c>
      <c r="D3" s="2" t="s">
        <v>24</v>
      </c>
      <c r="E3" s="2" t="s">
        <v>25</v>
      </c>
      <c r="F3" s="2" t="s">
        <v>26</v>
      </c>
      <c r="G3" s="4" t="s">
        <v>27</v>
      </c>
      <c r="H3" s="2" t="s">
        <v>19</v>
      </c>
      <c r="I3" s="4" t="s">
        <v>28</v>
      </c>
      <c r="J3" s="2" t="s">
        <v>29</v>
      </c>
      <c r="K3" s="2" t="s">
        <v>22</v>
      </c>
      <c r="L3" s="4"/>
      <c r="M3" s="4"/>
      <c r="N3" s="4"/>
      <c r="O3" s="2" t="s">
        <v>23</v>
      </c>
    </row>
    <row r="4" spans="1:15" ht="39.75" customHeight="1" x14ac:dyDescent="0.3">
      <c r="A4" s="2">
        <v>3</v>
      </c>
      <c r="B4" s="2">
        <v>1</v>
      </c>
      <c r="C4" s="3">
        <v>46322</v>
      </c>
      <c r="D4" s="2" t="s">
        <v>30</v>
      </c>
      <c r="E4" s="2" t="s">
        <v>16</v>
      </c>
      <c r="F4" s="2" t="s">
        <v>31</v>
      </c>
      <c r="G4" s="4" t="s">
        <v>32</v>
      </c>
      <c r="H4" s="2" t="s">
        <v>33</v>
      </c>
      <c r="I4" s="4" t="s">
        <v>34</v>
      </c>
      <c r="J4" s="2" t="s">
        <v>35</v>
      </c>
      <c r="K4" s="2" t="s">
        <v>22</v>
      </c>
      <c r="L4" s="4"/>
      <c r="M4" s="4"/>
      <c r="N4" s="4"/>
      <c r="O4" s="2" t="s">
        <v>23</v>
      </c>
    </row>
    <row r="5" spans="1:15" ht="39.75" customHeight="1" x14ac:dyDescent="0.3">
      <c r="A5" s="2">
        <v>4</v>
      </c>
      <c r="B5" s="2">
        <v>1</v>
      </c>
      <c r="C5" s="3">
        <v>46324</v>
      </c>
      <c r="D5" s="2" t="s">
        <v>36</v>
      </c>
      <c r="E5" s="2" t="s">
        <v>37</v>
      </c>
      <c r="F5" s="2" t="s">
        <v>38</v>
      </c>
      <c r="G5" s="4" t="s">
        <v>39</v>
      </c>
      <c r="H5" s="2" t="s">
        <v>40</v>
      </c>
      <c r="I5" s="4" t="s">
        <v>41</v>
      </c>
      <c r="J5" s="2" t="s">
        <v>42</v>
      </c>
      <c r="K5" s="2" t="s">
        <v>22</v>
      </c>
      <c r="L5" s="4"/>
      <c r="M5" s="4"/>
      <c r="N5" s="4"/>
      <c r="O5" s="2" t="s">
        <v>23</v>
      </c>
    </row>
    <row r="6" spans="1:15" ht="39.75" customHeight="1" x14ac:dyDescent="0.3">
      <c r="A6" s="2">
        <v>5</v>
      </c>
      <c r="B6" s="2">
        <v>1</v>
      </c>
      <c r="C6" s="3">
        <v>46325</v>
      </c>
      <c r="D6" s="2" t="s">
        <v>43</v>
      </c>
      <c r="E6" s="2" t="s">
        <v>16</v>
      </c>
      <c r="F6" s="2" t="s">
        <v>17</v>
      </c>
      <c r="G6" s="4" t="s">
        <v>18</v>
      </c>
      <c r="H6" s="2" t="s">
        <v>33</v>
      </c>
      <c r="I6" s="4" t="s">
        <v>44</v>
      </c>
      <c r="J6" s="2" t="s">
        <v>22</v>
      </c>
      <c r="K6" s="2" t="s">
        <v>45</v>
      </c>
      <c r="L6" s="4"/>
      <c r="M6" s="4"/>
      <c r="N6" s="4"/>
      <c r="O6" s="2" t="s">
        <v>23</v>
      </c>
    </row>
    <row r="7" spans="1:15" ht="39.75" customHeight="1" x14ac:dyDescent="0.3">
      <c r="A7" s="5">
        <v>6</v>
      </c>
      <c r="B7" s="5">
        <v>2</v>
      </c>
      <c r="C7" s="6">
        <v>46326</v>
      </c>
      <c r="D7" s="5" t="s">
        <v>15</v>
      </c>
      <c r="E7" s="5" t="s">
        <v>16</v>
      </c>
      <c r="F7" s="5" t="s">
        <v>31</v>
      </c>
      <c r="G7" s="7" t="s">
        <v>32</v>
      </c>
      <c r="H7" s="5" t="s">
        <v>19</v>
      </c>
      <c r="I7" s="7" t="s">
        <v>46</v>
      </c>
      <c r="J7" s="5" t="s">
        <v>35</v>
      </c>
      <c r="K7" s="5" t="s">
        <v>22</v>
      </c>
      <c r="L7" s="7"/>
      <c r="M7" s="7"/>
      <c r="N7" s="7"/>
      <c r="O7" s="5" t="s">
        <v>23</v>
      </c>
    </row>
    <row r="8" spans="1:15" ht="39.75" customHeight="1" x14ac:dyDescent="0.3">
      <c r="A8" s="5">
        <v>7</v>
      </c>
      <c r="B8" s="5">
        <v>2</v>
      </c>
      <c r="C8" s="6">
        <v>46327</v>
      </c>
      <c r="D8" s="5" t="s">
        <v>24</v>
      </c>
      <c r="E8" s="5" t="s">
        <v>25</v>
      </c>
      <c r="F8" s="5" t="s">
        <v>26</v>
      </c>
      <c r="G8" s="7" t="s">
        <v>27</v>
      </c>
      <c r="H8" s="5" t="s">
        <v>19</v>
      </c>
      <c r="I8" s="7" t="s">
        <v>47</v>
      </c>
      <c r="J8" s="5" t="s">
        <v>29</v>
      </c>
      <c r="K8" s="5" t="s">
        <v>22</v>
      </c>
      <c r="L8" s="7"/>
      <c r="M8" s="7"/>
      <c r="N8" s="7"/>
      <c r="O8" s="5" t="s">
        <v>23</v>
      </c>
    </row>
    <row r="9" spans="1:15" ht="39.75" customHeight="1" x14ac:dyDescent="0.3">
      <c r="A9" s="5">
        <v>8</v>
      </c>
      <c r="B9" s="5">
        <v>2</v>
      </c>
      <c r="C9" s="6">
        <v>46329</v>
      </c>
      <c r="D9" s="5" t="s">
        <v>30</v>
      </c>
      <c r="E9" s="5" t="s">
        <v>16</v>
      </c>
      <c r="F9" s="5" t="s">
        <v>17</v>
      </c>
      <c r="G9" s="7" t="s">
        <v>18</v>
      </c>
      <c r="H9" s="5" t="s">
        <v>19</v>
      </c>
      <c r="I9" s="7" t="s">
        <v>48</v>
      </c>
      <c r="J9" s="5" t="s">
        <v>21</v>
      </c>
      <c r="K9" s="5" t="s">
        <v>22</v>
      </c>
      <c r="L9" s="7"/>
      <c r="M9" s="7"/>
      <c r="N9" s="7"/>
      <c r="O9" s="5" t="s">
        <v>23</v>
      </c>
    </row>
    <row r="10" spans="1:15" ht="39.75" customHeight="1" x14ac:dyDescent="0.3">
      <c r="A10" s="5">
        <v>9</v>
      </c>
      <c r="B10" s="5">
        <v>2</v>
      </c>
      <c r="C10" s="6">
        <v>46331</v>
      </c>
      <c r="D10" s="5" t="s">
        <v>36</v>
      </c>
      <c r="E10" s="5" t="s">
        <v>37</v>
      </c>
      <c r="F10" s="5" t="s">
        <v>38</v>
      </c>
      <c r="G10" s="7" t="s">
        <v>39</v>
      </c>
      <c r="H10" s="5" t="s">
        <v>40</v>
      </c>
      <c r="I10" s="7" t="s">
        <v>49</v>
      </c>
      <c r="J10" s="5" t="s">
        <v>42</v>
      </c>
      <c r="K10" s="5" t="s">
        <v>22</v>
      </c>
      <c r="L10" s="7"/>
      <c r="M10" s="7"/>
      <c r="N10" s="7"/>
      <c r="O10" s="5" t="s">
        <v>23</v>
      </c>
    </row>
    <row r="11" spans="1:15" ht="39.75" customHeight="1" x14ac:dyDescent="0.3">
      <c r="A11" s="5">
        <v>10</v>
      </c>
      <c r="B11" s="5">
        <v>2</v>
      </c>
      <c r="C11" s="6">
        <v>46332</v>
      </c>
      <c r="D11" s="5" t="s">
        <v>43</v>
      </c>
      <c r="E11" s="5" t="s">
        <v>25</v>
      </c>
      <c r="F11" s="5" t="s">
        <v>26</v>
      </c>
      <c r="G11" s="7" t="s">
        <v>27</v>
      </c>
      <c r="H11" s="5" t="s">
        <v>50</v>
      </c>
      <c r="I11" s="7" t="s">
        <v>51</v>
      </c>
      <c r="J11" s="5" t="s">
        <v>22</v>
      </c>
      <c r="K11" s="5" t="s">
        <v>45</v>
      </c>
      <c r="L11" s="7"/>
      <c r="M11" s="7"/>
      <c r="N11" s="7"/>
      <c r="O11" s="5" t="s">
        <v>23</v>
      </c>
    </row>
    <row r="12" spans="1:15" ht="39.75" customHeight="1" x14ac:dyDescent="0.3">
      <c r="A12" s="8">
        <v>11</v>
      </c>
      <c r="B12" s="8">
        <v>3</v>
      </c>
      <c r="C12" s="9">
        <v>46333</v>
      </c>
      <c r="D12" s="8" t="s">
        <v>15</v>
      </c>
      <c r="E12" s="8" t="s">
        <v>16</v>
      </c>
      <c r="F12" s="8" t="s">
        <v>17</v>
      </c>
      <c r="G12" s="10" t="s">
        <v>18</v>
      </c>
      <c r="H12" s="8" t="s">
        <v>52</v>
      </c>
      <c r="I12" s="10" t="s">
        <v>53</v>
      </c>
      <c r="J12" s="8" t="s">
        <v>21</v>
      </c>
      <c r="K12" s="8" t="s">
        <v>22</v>
      </c>
      <c r="L12" s="10"/>
      <c r="M12" s="10"/>
      <c r="N12" s="10"/>
      <c r="O12" s="8" t="s">
        <v>23</v>
      </c>
    </row>
    <row r="13" spans="1:15" ht="39.75" customHeight="1" x14ac:dyDescent="0.3">
      <c r="A13" s="8">
        <v>12</v>
      </c>
      <c r="B13" s="8">
        <v>3</v>
      </c>
      <c r="C13" s="9">
        <v>46334</v>
      </c>
      <c r="D13" s="8" t="s">
        <v>24</v>
      </c>
      <c r="E13" s="8" t="s">
        <v>16</v>
      </c>
      <c r="F13" s="8" t="s">
        <v>31</v>
      </c>
      <c r="G13" s="10" t="s">
        <v>32</v>
      </c>
      <c r="H13" s="8" t="s">
        <v>52</v>
      </c>
      <c r="I13" s="10" t="s">
        <v>54</v>
      </c>
      <c r="J13" s="8" t="s">
        <v>35</v>
      </c>
      <c r="K13" s="8" t="s">
        <v>22</v>
      </c>
      <c r="L13" s="10"/>
      <c r="M13" s="10"/>
      <c r="N13" s="10"/>
      <c r="O13" s="8" t="s">
        <v>23</v>
      </c>
    </row>
    <row r="14" spans="1:15" ht="39.75" customHeight="1" x14ac:dyDescent="0.3">
      <c r="A14" s="8">
        <v>13</v>
      </c>
      <c r="B14" s="8">
        <v>3</v>
      </c>
      <c r="C14" s="9">
        <v>46336</v>
      </c>
      <c r="D14" s="8" t="s">
        <v>30</v>
      </c>
      <c r="E14" s="8" t="s">
        <v>25</v>
      </c>
      <c r="F14" s="8" t="s">
        <v>26</v>
      </c>
      <c r="G14" s="10" t="s">
        <v>27</v>
      </c>
      <c r="H14" s="8" t="s">
        <v>52</v>
      </c>
      <c r="I14" s="10" t="s">
        <v>55</v>
      </c>
      <c r="J14" s="8" t="s">
        <v>29</v>
      </c>
      <c r="K14" s="8" t="s">
        <v>22</v>
      </c>
      <c r="L14" s="10"/>
      <c r="M14" s="10"/>
      <c r="N14" s="10"/>
      <c r="O14" s="8" t="s">
        <v>23</v>
      </c>
    </row>
    <row r="15" spans="1:15" ht="39.75" customHeight="1" x14ac:dyDescent="0.3">
      <c r="A15" s="8">
        <v>14</v>
      </c>
      <c r="B15" s="8">
        <v>3</v>
      </c>
      <c r="C15" s="9">
        <v>46338</v>
      </c>
      <c r="D15" s="8" t="s">
        <v>36</v>
      </c>
      <c r="E15" s="8" t="s">
        <v>16</v>
      </c>
      <c r="F15" s="8" t="s">
        <v>56</v>
      </c>
      <c r="G15" s="10" t="s">
        <v>57</v>
      </c>
      <c r="H15" s="8" t="s">
        <v>52</v>
      </c>
      <c r="I15" s="10" t="s">
        <v>58</v>
      </c>
      <c r="J15" s="8" t="s">
        <v>29</v>
      </c>
      <c r="K15" s="8" t="s">
        <v>22</v>
      </c>
      <c r="L15" s="10"/>
      <c r="M15" s="10"/>
      <c r="N15" s="10"/>
      <c r="O15" s="8" t="s">
        <v>23</v>
      </c>
    </row>
    <row r="16" spans="1:15" ht="39.75" customHeight="1" x14ac:dyDescent="0.3">
      <c r="A16" s="8">
        <v>15</v>
      </c>
      <c r="B16" s="8">
        <v>3</v>
      </c>
      <c r="C16" s="9">
        <v>46339</v>
      </c>
      <c r="D16" s="8" t="s">
        <v>43</v>
      </c>
      <c r="E16" s="8" t="s">
        <v>37</v>
      </c>
      <c r="F16" s="8" t="s">
        <v>38</v>
      </c>
      <c r="G16" s="10" t="s">
        <v>39</v>
      </c>
      <c r="H16" s="8" t="s">
        <v>40</v>
      </c>
      <c r="I16" s="10" t="s">
        <v>59</v>
      </c>
      <c r="J16" s="8" t="s">
        <v>22</v>
      </c>
      <c r="K16" s="8" t="s">
        <v>45</v>
      </c>
      <c r="L16" s="10"/>
      <c r="M16" s="10"/>
      <c r="N16" s="10"/>
      <c r="O16" s="8" t="s">
        <v>23</v>
      </c>
    </row>
    <row r="17" spans="1:15" ht="39.75" customHeight="1" x14ac:dyDescent="0.3">
      <c r="A17" s="11">
        <v>16</v>
      </c>
      <c r="B17" s="11">
        <v>4</v>
      </c>
      <c r="C17" s="12">
        <v>46340</v>
      </c>
      <c r="D17" s="11" t="s">
        <v>15</v>
      </c>
      <c r="E17" s="11" t="s">
        <v>16</v>
      </c>
      <c r="F17" s="11" t="s">
        <v>31</v>
      </c>
      <c r="G17" s="13" t="s">
        <v>32</v>
      </c>
      <c r="H17" s="11" t="s">
        <v>19</v>
      </c>
      <c r="I17" s="13" t="s">
        <v>60</v>
      </c>
      <c r="J17" s="11" t="s">
        <v>35</v>
      </c>
      <c r="K17" s="11" t="s">
        <v>22</v>
      </c>
      <c r="L17" s="13"/>
      <c r="M17" s="13"/>
      <c r="N17" s="13"/>
      <c r="O17" s="11" t="s">
        <v>23</v>
      </c>
    </row>
    <row r="18" spans="1:15" ht="39.75" customHeight="1" x14ac:dyDescent="0.3">
      <c r="A18" s="11">
        <v>17</v>
      </c>
      <c r="B18" s="11">
        <v>4</v>
      </c>
      <c r="C18" s="12">
        <v>46341</v>
      </c>
      <c r="D18" s="11" t="s">
        <v>24</v>
      </c>
      <c r="E18" s="11" t="s">
        <v>25</v>
      </c>
      <c r="F18" s="11" t="s">
        <v>26</v>
      </c>
      <c r="G18" s="13" t="s">
        <v>27</v>
      </c>
      <c r="H18" s="11" t="s">
        <v>19</v>
      </c>
      <c r="I18" s="13" t="s">
        <v>61</v>
      </c>
      <c r="J18" s="11" t="s">
        <v>29</v>
      </c>
      <c r="K18" s="11" t="s">
        <v>22</v>
      </c>
      <c r="L18" s="13"/>
      <c r="M18" s="13"/>
      <c r="N18" s="13"/>
      <c r="O18" s="11" t="s">
        <v>23</v>
      </c>
    </row>
    <row r="19" spans="1:15" ht="39.75" customHeight="1" x14ac:dyDescent="0.3">
      <c r="A19" s="11">
        <v>18</v>
      </c>
      <c r="B19" s="11">
        <v>4</v>
      </c>
      <c r="C19" s="12">
        <v>46343</v>
      </c>
      <c r="D19" s="11" t="s">
        <v>30</v>
      </c>
      <c r="E19" s="11" t="s">
        <v>16</v>
      </c>
      <c r="F19" s="11" t="s">
        <v>17</v>
      </c>
      <c r="G19" s="13" t="s">
        <v>18</v>
      </c>
      <c r="H19" s="11" t="s">
        <v>19</v>
      </c>
      <c r="I19" s="13" t="s">
        <v>62</v>
      </c>
      <c r="J19" s="11" t="s">
        <v>21</v>
      </c>
      <c r="K19" s="11" t="s">
        <v>22</v>
      </c>
      <c r="L19" s="13"/>
      <c r="M19" s="13"/>
      <c r="N19" s="13"/>
      <c r="O19" s="11" t="s">
        <v>23</v>
      </c>
    </row>
    <row r="20" spans="1:15" ht="39.75" customHeight="1" x14ac:dyDescent="0.3">
      <c r="A20" s="11">
        <v>19</v>
      </c>
      <c r="B20" s="11">
        <v>4</v>
      </c>
      <c r="C20" s="12">
        <v>46345</v>
      </c>
      <c r="D20" s="11" t="s">
        <v>36</v>
      </c>
      <c r="E20" s="11" t="s">
        <v>16</v>
      </c>
      <c r="F20" s="11" t="s">
        <v>17</v>
      </c>
      <c r="G20" s="13" t="s">
        <v>18</v>
      </c>
      <c r="H20" s="11" t="s">
        <v>33</v>
      </c>
      <c r="I20" s="13" t="s">
        <v>63</v>
      </c>
      <c r="J20" s="11" t="s">
        <v>21</v>
      </c>
      <c r="K20" s="11" t="s">
        <v>22</v>
      </c>
      <c r="L20" s="13"/>
      <c r="M20" s="13"/>
      <c r="N20" s="13"/>
      <c r="O20" s="11" t="s">
        <v>23</v>
      </c>
    </row>
    <row r="21" spans="1:15" ht="39.75" customHeight="1" x14ac:dyDescent="0.3">
      <c r="A21" s="11">
        <v>20</v>
      </c>
      <c r="B21" s="11">
        <v>4</v>
      </c>
      <c r="C21" s="12">
        <v>46346</v>
      </c>
      <c r="D21" s="11" t="s">
        <v>43</v>
      </c>
      <c r="E21" s="11" t="s">
        <v>64</v>
      </c>
      <c r="F21" s="11" t="s">
        <v>65</v>
      </c>
      <c r="G21" s="13" t="s">
        <v>66</v>
      </c>
      <c r="H21" s="11" t="s">
        <v>40</v>
      </c>
      <c r="I21" s="13" t="s">
        <v>67</v>
      </c>
      <c r="J21" s="11" t="s">
        <v>22</v>
      </c>
      <c r="K21" s="11" t="s">
        <v>45</v>
      </c>
      <c r="L21" s="13"/>
      <c r="M21" s="13"/>
      <c r="N21" s="13"/>
      <c r="O21" s="11" t="s">
        <v>23</v>
      </c>
    </row>
    <row r="22" spans="1:15" ht="39.75" customHeight="1" x14ac:dyDescent="0.3">
      <c r="A22" s="14">
        <v>21</v>
      </c>
      <c r="B22" s="14">
        <v>5</v>
      </c>
      <c r="C22" s="15">
        <v>46347</v>
      </c>
      <c r="D22" s="14" t="s">
        <v>15</v>
      </c>
      <c r="E22" s="14" t="s">
        <v>16</v>
      </c>
      <c r="F22" s="14" t="s">
        <v>31</v>
      </c>
      <c r="G22" s="16" t="s">
        <v>32</v>
      </c>
      <c r="H22" s="14" t="s">
        <v>19</v>
      </c>
      <c r="I22" s="16" t="s">
        <v>68</v>
      </c>
      <c r="J22" s="14" t="s">
        <v>35</v>
      </c>
      <c r="K22" s="14" t="s">
        <v>22</v>
      </c>
      <c r="L22" s="16"/>
      <c r="M22" s="16"/>
      <c r="N22" s="16"/>
      <c r="O22" s="14" t="s">
        <v>23</v>
      </c>
    </row>
    <row r="23" spans="1:15" ht="39.75" customHeight="1" x14ac:dyDescent="0.3">
      <c r="A23" s="14">
        <v>22</v>
      </c>
      <c r="B23" s="14">
        <v>5</v>
      </c>
      <c r="C23" s="15">
        <v>46348</v>
      </c>
      <c r="D23" s="14" t="s">
        <v>24</v>
      </c>
      <c r="E23" s="14" t="s">
        <v>25</v>
      </c>
      <c r="F23" s="14" t="s">
        <v>26</v>
      </c>
      <c r="G23" s="16" t="s">
        <v>27</v>
      </c>
      <c r="H23" s="14" t="s">
        <v>50</v>
      </c>
      <c r="I23" s="16" t="s">
        <v>69</v>
      </c>
      <c r="J23" s="14" t="s">
        <v>29</v>
      </c>
      <c r="K23" s="14" t="s">
        <v>22</v>
      </c>
      <c r="L23" s="16"/>
      <c r="M23" s="16"/>
      <c r="N23" s="16"/>
      <c r="O23" s="14" t="s">
        <v>23</v>
      </c>
    </row>
    <row r="24" spans="1:15" ht="39.75" customHeight="1" x14ac:dyDescent="0.3">
      <c r="A24" s="14">
        <v>23</v>
      </c>
      <c r="B24" s="14">
        <v>5</v>
      </c>
      <c r="C24" s="15">
        <v>46350</v>
      </c>
      <c r="D24" s="14" t="s">
        <v>30</v>
      </c>
      <c r="E24" s="14" t="s">
        <v>16</v>
      </c>
      <c r="F24" s="14" t="s">
        <v>17</v>
      </c>
      <c r="G24" s="16" t="s">
        <v>18</v>
      </c>
      <c r="H24" s="14" t="s">
        <v>33</v>
      </c>
      <c r="I24" s="16" t="s">
        <v>70</v>
      </c>
      <c r="J24" s="14" t="s">
        <v>21</v>
      </c>
      <c r="K24" s="14" t="s">
        <v>22</v>
      </c>
      <c r="L24" s="16"/>
      <c r="M24" s="16"/>
      <c r="N24" s="16"/>
      <c r="O24" s="14" t="s">
        <v>23</v>
      </c>
    </row>
    <row r="25" spans="1:15" ht="39.75" customHeight="1" x14ac:dyDescent="0.3">
      <c r="A25" s="14">
        <v>24</v>
      </c>
      <c r="B25" s="14">
        <v>5</v>
      </c>
      <c r="C25" s="15">
        <v>46352</v>
      </c>
      <c r="D25" s="14" t="s">
        <v>36</v>
      </c>
      <c r="E25" s="14" t="s">
        <v>16</v>
      </c>
      <c r="F25" s="14" t="s">
        <v>31</v>
      </c>
      <c r="G25" s="16" t="s">
        <v>32</v>
      </c>
      <c r="H25" s="14" t="s">
        <v>50</v>
      </c>
      <c r="I25" s="16" t="s">
        <v>71</v>
      </c>
      <c r="J25" s="14" t="s">
        <v>35</v>
      </c>
      <c r="K25" s="14" t="s">
        <v>22</v>
      </c>
      <c r="L25" s="16"/>
      <c r="M25" s="16"/>
      <c r="N25" s="16"/>
      <c r="O25" s="14" t="s">
        <v>23</v>
      </c>
    </row>
    <row r="26" spans="1:15" ht="39.75" customHeight="1" x14ac:dyDescent="0.3">
      <c r="A26" s="14">
        <v>25</v>
      </c>
      <c r="B26" s="14">
        <v>5</v>
      </c>
      <c r="C26" s="15">
        <v>46353</v>
      </c>
      <c r="D26" s="14" t="s">
        <v>43</v>
      </c>
      <c r="E26" s="14" t="s">
        <v>16</v>
      </c>
      <c r="F26" s="14" t="s">
        <v>17</v>
      </c>
      <c r="G26" s="16" t="s">
        <v>18</v>
      </c>
      <c r="H26" s="14" t="s">
        <v>72</v>
      </c>
      <c r="I26" s="16" t="s">
        <v>73</v>
      </c>
      <c r="J26" s="14" t="s">
        <v>22</v>
      </c>
      <c r="K26" s="14" t="s">
        <v>45</v>
      </c>
      <c r="L26" s="16"/>
      <c r="M26" s="16"/>
      <c r="N26" s="16"/>
      <c r="O26" s="14" t="s">
        <v>23</v>
      </c>
    </row>
    <row r="27" spans="1:15" ht="39.75" customHeight="1" x14ac:dyDescent="0.3">
      <c r="A27" s="17">
        <v>26</v>
      </c>
      <c r="B27" s="17">
        <v>6</v>
      </c>
      <c r="C27" s="18">
        <v>46354</v>
      </c>
      <c r="D27" s="17" t="s">
        <v>15</v>
      </c>
      <c r="E27" s="17" t="s">
        <v>25</v>
      </c>
      <c r="F27" s="17" t="s">
        <v>26</v>
      </c>
      <c r="G27" s="19" t="s">
        <v>27</v>
      </c>
      <c r="H27" s="17" t="s">
        <v>50</v>
      </c>
      <c r="I27" s="19" t="s">
        <v>74</v>
      </c>
      <c r="J27" s="17" t="s">
        <v>29</v>
      </c>
      <c r="K27" s="17" t="s">
        <v>22</v>
      </c>
      <c r="L27" s="19"/>
      <c r="M27" s="19"/>
      <c r="N27" s="19"/>
      <c r="O27" s="17" t="s">
        <v>23</v>
      </c>
    </row>
    <row r="28" spans="1:15" ht="39.75" customHeight="1" x14ac:dyDescent="0.3">
      <c r="A28" s="17">
        <v>27</v>
      </c>
      <c r="B28" s="17">
        <v>6</v>
      </c>
      <c r="C28" s="18">
        <v>46355</v>
      </c>
      <c r="D28" s="17" t="s">
        <v>24</v>
      </c>
      <c r="E28" s="17" t="s">
        <v>16</v>
      </c>
      <c r="F28" s="17" t="s">
        <v>31</v>
      </c>
      <c r="G28" s="19" t="s">
        <v>32</v>
      </c>
      <c r="H28" s="17" t="s">
        <v>50</v>
      </c>
      <c r="I28" s="19" t="s">
        <v>75</v>
      </c>
      <c r="J28" s="17" t="s">
        <v>42</v>
      </c>
      <c r="K28" s="17" t="s">
        <v>22</v>
      </c>
      <c r="L28" s="19"/>
      <c r="M28" s="19"/>
      <c r="N28" s="19"/>
      <c r="O28" s="17" t="s">
        <v>23</v>
      </c>
    </row>
    <row r="29" spans="1:15" ht="39.75" customHeight="1" x14ac:dyDescent="0.3">
      <c r="A29" s="17">
        <v>28</v>
      </c>
      <c r="B29" s="17">
        <v>6</v>
      </c>
      <c r="C29" s="18">
        <v>46356</v>
      </c>
      <c r="D29" s="17" t="s">
        <v>76</v>
      </c>
      <c r="E29" s="17" t="s">
        <v>16</v>
      </c>
      <c r="F29" s="17" t="s">
        <v>17</v>
      </c>
      <c r="G29" s="19" t="s">
        <v>18</v>
      </c>
      <c r="H29" s="17" t="s">
        <v>72</v>
      </c>
      <c r="I29" s="19" t="s">
        <v>77</v>
      </c>
      <c r="J29" s="17" t="s">
        <v>22</v>
      </c>
      <c r="K29" s="17" t="s">
        <v>45</v>
      </c>
      <c r="L29" s="19"/>
      <c r="M29" s="19"/>
      <c r="N29" s="19"/>
      <c r="O29" s="17" t="s">
        <v>23</v>
      </c>
    </row>
    <row r="31" spans="1:15" ht="15" customHeight="1" x14ac:dyDescent="0.3">
      <c r="A31" s="20"/>
    </row>
  </sheetData>
  <autoFilter ref="A1:O29" xr:uid="{00000000-0009-0000-0000-000000000000}"/>
  <dataValidations count="1">
    <dataValidation type="list" sqref="O2:O29" xr:uid="{00000000-0002-0000-0000-000000000000}">
      <formula1>"لم يبدأ,قيد التنفيذ,جاهز للمراجعة,تم النشر"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rightToLeft="1" topLeftCell="A4" zoomScaleNormal="100" workbookViewId="0"/>
  </sheetViews>
  <sheetFormatPr defaultColWidth="8.6640625" defaultRowHeight="14.4" x14ac:dyDescent="0.3"/>
  <cols>
    <col min="1" max="1" width="30" customWidth="1"/>
    <col min="2" max="2" width="16" customWidth="1"/>
  </cols>
  <sheetData>
    <row r="1" spans="1:2" ht="15" customHeight="1" x14ac:dyDescent="0.3">
      <c r="A1" s="21" t="s">
        <v>78</v>
      </c>
    </row>
    <row r="2" spans="1:2" ht="15" customHeight="1" x14ac:dyDescent="0.3">
      <c r="A2" s="1" t="s">
        <v>79</v>
      </c>
      <c r="B2" s="1" t="s">
        <v>80</v>
      </c>
    </row>
    <row r="3" spans="1:2" ht="15" customHeight="1" x14ac:dyDescent="0.3">
      <c r="A3" s="22" t="s">
        <v>81</v>
      </c>
      <c r="B3" s="22">
        <f>COUNTIF('Content Calendar'!$E$2:$E$29,"*Instagram*")</f>
        <v>27</v>
      </c>
    </row>
    <row r="4" spans="1:2" ht="15" customHeight="1" x14ac:dyDescent="0.3">
      <c r="A4" s="22" t="s">
        <v>82</v>
      </c>
      <c r="B4" s="22">
        <f>COUNTIF('Content Calendar'!$E$2:$E$29,"*Facebook*")</f>
        <v>27</v>
      </c>
    </row>
    <row r="5" spans="1:2" ht="15" customHeight="1" x14ac:dyDescent="0.3">
      <c r="A5" s="22" t="s">
        <v>64</v>
      </c>
      <c r="B5" s="22">
        <f>COUNTIF('Content Calendar'!$E$2:$E$29,"*TikTok*")</f>
        <v>25</v>
      </c>
    </row>
    <row r="6" spans="1:2" ht="15" customHeight="1" x14ac:dyDescent="0.3">
      <c r="A6" s="22" t="s">
        <v>83</v>
      </c>
      <c r="B6" s="22">
        <f>COUNTIF('Content Calendar'!$E$2:$E$29,"*LinkedIn*")</f>
        <v>17</v>
      </c>
    </row>
    <row r="7" spans="1:2" ht="15" customHeight="1" x14ac:dyDescent="0.3">
      <c r="A7" s="22" t="s">
        <v>84</v>
      </c>
      <c r="B7" s="22">
        <f>COUNTIF('Content Calendar'!$E$2:$E$29,"*YouTube Shorts*")</f>
        <v>7</v>
      </c>
    </row>
    <row r="8" spans="1:2" ht="15" customHeight="1" x14ac:dyDescent="0.3">
      <c r="A8" s="23" t="s">
        <v>85</v>
      </c>
      <c r="B8" s="23">
        <f>COUNTA('Content Calendar'!$A$2:$A$29)</f>
        <v>28</v>
      </c>
    </row>
    <row r="9" spans="1:2" ht="15" customHeight="1" x14ac:dyDescent="0.3"/>
    <row r="10" spans="1:2" ht="15" customHeight="1" x14ac:dyDescent="0.3">
      <c r="A10" s="21" t="s">
        <v>86</v>
      </c>
    </row>
    <row r="11" spans="1:2" ht="15" customHeight="1" x14ac:dyDescent="0.3">
      <c r="A11" s="1" t="s">
        <v>79</v>
      </c>
      <c r="B11" s="1" t="s">
        <v>80</v>
      </c>
    </row>
    <row r="12" spans="1:2" ht="15" customHeight="1" x14ac:dyDescent="0.3">
      <c r="A12" s="22" t="s">
        <v>17</v>
      </c>
      <c r="B12" s="22">
        <f>COUNTIF('Content Calendar'!$F$2:$F$29,A12)</f>
        <v>9</v>
      </c>
    </row>
    <row r="13" spans="1:2" ht="15" customHeight="1" x14ac:dyDescent="0.3">
      <c r="A13" s="22" t="s">
        <v>26</v>
      </c>
      <c r="B13" s="22">
        <f>COUNTIF('Content Calendar'!$F$2:$F$29,A13)</f>
        <v>7</v>
      </c>
    </row>
    <row r="14" spans="1:2" ht="15" customHeight="1" x14ac:dyDescent="0.3">
      <c r="A14" s="22" t="s">
        <v>31</v>
      </c>
      <c r="B14" s="22">
        <f>COUNTIF('Content Calendar'!$F$2:$F$29,A14)</f>
        <v>7</v>
      </c>
    </row>
    <row r="15" spans="1:2" ht="15" customHeight="1" x14ac:dyDescent="0.3">
      <c r="A15" s="22" t="s">
        <v>38</v>
      </c>
      <c r="B15" s="22">
        <f>COUNTIF('Content Calendar'!$F$2:$F$29,A15)</f>
        <v>3</v>
      </c>
    </row>
    <row r="16" spans="1:2" ht="15" customHeight="1" x14ac:dyDescent="0.3">
      <c r="A16" s="22" t="s">
        <v>56</v>
      </c>
      <c r="B16" s="22">
        <f>COUNTIF('Content Calendar'!$F$2:$F$29,A16)</f>
        <v>1</v>
      </c>
    </row>
    <row r="17" spans="1:2" ht="15" customHeight="1" x14ac:dyDescent="0.3">
      <c r="A17" s="22" t="s">
        <v>65</v>
      </c>
      <c r="B17" s="22">
        <f>COUNTIF('Content Calendar'!$F$2:$F$29,A17)</f>
        <v>1</v>
      </c>
    </row>
    <row r="18" spans="1:2" ht="15" customHeight="1" x14ac:dyDescent="0.3">
      <c r="A18" s="23" t="s">
        <v>87</v>
      </c>
      <c r="B18" s="23">
        <f>SUM(B12:B17)</f>
        <v>28</v>
      </c>
    </row>
    <row r="19" spans="1:2" ht="15" customHeight="1" x14ac:dyDescent="0.3"/>
    <row r="20" spans="1:2" ht="15" customHeight="1" x14ac:dyDescent="0.3">
      <c r="A20" s="21" t="s">
        <v>88</v>
      </c>
    </row>
    <row r="21" spans="1:2" ht="15" customHeight="1" x14ac:dyDescent="0.3">
      <c r="A21" s="1" t="s">
        <v>79</v>
      </c>
      <c r="B21" s="1" t="s">
        <v>80</v>
      </c>
    </row>
    <row r="22" spans="1:2" ht="15" customHeight="1" x14ac:dyDescent="0.3">
      <c r="A22" s="22" t="s">
        <v>19</v>
      </c>
      <c r="B22" s="22">
        <f>COUNTIF('Content Calendar'!$H$2:$H$29,A22)</f>
        <v>9</v>
      </c>
    </row>
    <row r="23" spans="1:2" ht="15" customHeight="1" x14ac:dyDescent="0.3">
      <c r="A23" s="22" t="s">
        <v>33</v>
      </c>
      <c r="B23" s="22">
        <f>COUNTIF('Content Calendar'!$H$2:$H$29,A23)</f>
        <v>4</v>
      </c>
    </row>
    <row r="24" spans="1:2" ht="15" customHeight="1" x14ac:dyDescent="0.3">
      <c r="A24" s="22" t="s">
        <v>52</v>
      </c>
      <c r="B24" s="22">
        <f>COUNTIF('Content Calendar'!$H$2:$H$29,A24)</f>
        <v>4</v>
      </c>
    </row>
    <row r="25" spans="1:2" ht="15" customHeight="1" x14ac:dyDescent="0.3">
      <c r="A25" s="22" t="s">
        <v>50</v>
      </c>
      <c r="B25" s="22">
        <f>COUNTIF('Content Calendar'!$H$2:$H$29,A25)</f>
        <v>5</v>
      </c>
    </row>
    <row r="26" spans="1:2" ht="15" customHeight="1" x14ac:dyDescent="0.3">
      <c r="A26" s="22" t="s">
        <v>40</v>
      </c>
      <c r="B26" s="22">
        <f>COUNTIF('Content Calendar'!$H$2:$H$29,A26)</f>
        <v>4</v>
      </c>
    </row>
    <row r="27" spans="1:2" ht="15" customHeight="1" x14ac:dyDescent="0.3">
      <c r="A27" s="22" t="s">
        <v>72</v>
      </c>
      <c r="B27" s="22">
        <f>COUNTIF('Content Calendar'!$H$2:$H$29,A27)</f>
        <v>2</v>
      </c>
    </row>
    <row r="28" spans="1:2" ht="15" customHeight="1" x14ac:dyDescent="0.3">
      <c r="A28" s="23" t="s">
        <v>87</v>
      </c>
      <c r="B28" s="23">
        <f>SUM(B22:B27)</f>
        <v>28</v>
      </c>
    </row>
    <row r="29" spans="1:2" ht="15" customHeight="1" x14ac:dyDescent="0.3"/>
    <row r="30" spans="1:2" ht="15" customHeight="1" x14ac:dyDescent="0.3">
      <c r="A30" s="21" t="s">
        <v>89</v>
      </c>
    </row>
    <row r="31" spans="1:2" ht="15" customHeight="1" x14ac:dyDescent="0.3">
      <c r="A31" s="1" t="s">
        <v>79</v>
      </c>
      <c r="B31" s="1" t="s">
        <v>80</v>
      </c>
    </row>
    <row r="32" spans="1:2" ht="15" customHeight="1" x14ac:dyDescent="0.3">
      <c r="A32" s="22" t="s">
        <v>22</v>
      </c>
      <c r="B32" s="22">
        <f>COUNTIF('Content Calendar'!$J$2:$J$29,A32)</f>
        <v>6</v>
      </c>
    </row>
    <row r="33" spans="1:2" ht="15" customHeight="1" x14ac:dyDescent="0.3">
      <c r="A33" s="22" t="s">
        <v>21</v>
      </c>
      <c r="B33" s="22">
        <f>COUNTIF('Content Calendar'!$J$2:$J$29,A33)</f>
        <v>6</v>
      </c>
    </row>
    <row r="34" spans="1:2" ht="15" customHeight="1" x14ac:dyDescent="0.3">
      <c r="A34" s="22" t="s">
        <v>29</v>
      </c>
      <c r="B34" s="22">
        <f>COUNTIF('Content Calendar'!$J$2:$J$29,A34)</f>
        <v>7</v>
      </c>
    </row>
    <row r="35" spans="1:2" ht="15" customHeight="1" x14ac:dyDescent="0.3">
      <c r="A35" s="22" t="s">
        <v>35</v>
      </c>
      <c r="B35" s="22">
        <f>COUNTIF('Content Calendar'!$J$2:$J$29,A35)</f>
        <v>6</v>
      </c>
    </row>
    <row r="36" spans="1:2" ht="15" customHeight="1" x14ac:dyDescent="0.3">
      <c r="A36" s="22" t="s">
        <v>42</v>
      </c>
      <c r="B36" s="22">
        <f>COUNTIF('Content Calendar'!$J$2:$J$29,A36)</f>
        <v>3</v>
      </c>
    </row>
    <row r="37" spans="1:2" ht="15" customHeight="1" x14ac:dyDescent="0.3">
      <c r="A37" s="23" t="s">
        <v>87</v>
      </c>
      <c r="B37" s="23">
        <f>SUM(B32:B36)</f>
        <v>28</v>
      </c>
    </row>
    <row r="38" spans="1:2" ht="15" customHeight="1" x14ac:dyDescent="0.3"/>
    <row r="39" spans="1:2" ht="15" customHeight="1" x14ac:dyDescent="0.3">
      <c r="A39" s="21" t="s">
        <v>90</v>
      </c>
    </row>
    <row r="40" spans="1:2" ht="15" customHeight="1" x14ac:dyDescent="0.3">
      <c r="A40" s="1" t="s">
        <v>79</v>
      </c>
      <c r="B40" s="1" t="s">
        <v>80</v>
      </c>
    </row>
    <row r="41" spans="1:2" ht="15" customHeight="1" x14ac:dyDescent="0.3">
      <c r="A41" s="22" t="s">
        <v>23</v>
      </c>
      <c r="B41" s="22">
        <f>COUNTIF('Content Calendar'!$O$2:$O$29,A41)</f>
        <v>28</v>
      </c>
    </row>
    <row r="42" spans="1:2" ht="15" customHeight="1" x14ac:dyDescent="0.3">
      <c r="A42" s="22" t="s">
        <v>91</v>
      </c>
      <c r="B42" s="22">
        <f>COUNTIF('Content Calendar'!$O$2:$O$29,A42)</f>
        <v>0</v>
      </c>
    </row>
    <row r="43" spans="1:2" ht="15" customHeight="1" x14ac:dyDescent="0.3">
      <c r="A43" s="22" t="s">
        <v>92</v>
      </c>
      <c r="B43" s="22">
        <f>COUNTIF('Content Calendar'!$O$2:$O$29,A43)</f>
        <v>0</v>
      </c>
    </row>
    <row r="44" spans="1:2" ht="15" customHeight="1" x14ac:dyDescent="0.3">
      <c r="A44" s="22" t="s">
        <v>93</v>
      </c>
      <c r="B44" s="22">
        <f>COUNTIF('Content Calendar'!$O$2:$O$29,A44)</f>
        <v>0</v>
      </c>
    </row>
    <row r="45" spans="1:2" ht="15" customHeight="1" x14ac:dyDescent="0.3">
      <c r="A45" s="23" t="s">
        <v>87</v>
      </c>
      <c r="B45" s="23">
        <f>SUM(B41:B44)</f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rightToLeft="1" zoomScaleNormal="100" workbookViewId="0"/>
  </sheetViews>
  <sheetFormatPr defaultColWidth="8.6640625" defaultRowHeight="14.4" x14ac:dyDescent="0.3"/>
  <cols>
    <col min="1" max="1" width="30" customWidth="1"/>
    <col min="2" max="2" width="60" customWidth="1"/>
    <col min="3" max="3" width="55" customWidth="1"/>
  </cols>
  <sheetData>
    <row r="1" spans="1:3" ht="15" customHeight="1" x14ac:dyDescent="0.3">
      <c r="A1" s="1" t="s">
        <v>94</v>
      </c>
      <c r="B1" s="1" t="s">
        <v>95</v>
      </c>
      <c r="C1" s="1" t="s">
        <v>96</v>
      </c>
    </row>
    <row r="2" spans="1:3" ht="39.75" customHeight="1" x14ac:dyDescent="0.3">
      <c r="A2" s="24" t="s">
        <v>97</v>
      </c>
      <c r="B2" s="24" t="s">
        <v>98</v>
      </c>
      <c r="C2" s="24" t="s">
        <v>99</v>
      </c>
    </row>
    <row r="3" spans="1:3" ht="39.75" customHeight="1" x14ac:dyDescent="0.3">
      <c r="A3" s="24" t="s">
        <v>100</v>
      </c>
      <c r="B3" s="24" t="s">
        <v>101</v>
      </c>
      <c r="C3" s="24" t="s">
        <v>102</v>
      </c>
    </row>
    <row r="4" spans="1:3" ht="39.75" customHeight="1" x14ac:dyDescent="0.3">
      <c r="A4" s="24" t="s">
        <v>103</v>
      </c>
      <c r="B4" s="24" t="s">
        <v>104</v>
      </c>
      <c r="C4" s="24" t="s">
        <v>105</v>
      </c>
    </row>
    <row r="5" spans="1:3" ht="39.75" customHeight="1" x14ac:dyDescent="0.3">
      <c r="A5" s="24" t="s">
        <v>106</v>
      </c>
      <c r="B5" s="24" t="s">
        <v>107</v>
      </c>
      <c r="C5" s="24" t="s">
        <v>108</v>
      </c>
    </row>
    <row r="6" spans="1:3" ht="39.75" customHeight="1" x14ac:dyDescent="0.3">
      <c r="A6" s="24" t="s">
        <v>109</v>
      </c>
      <c r="B6" s="24" t="s">
        <v>110</v>
      </c>
      <c r="C6" s="24" t="s">
        <v>111</v>
      </c>
    </row>
    <row r="8" spans="1:3" ht="15" customHeight="1" x14ac:dyDescent="0.3">
      <c r="A8" s="25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rightToLeft="1" tabSelected="1" zoomScaleNormal="100" workbookViewId="0"/>
  </sheetViews>
  <sheetFormatPr defaultColWidth="8.6640625" defaultRowHeight="14.4" x14ac:dyDescent="0.3"/>
  <cols>
    <col min="1" max="1" width="18" customWidth="1"/>
    <col min="2" max="3" width="10" customWidth="1"/>
    <col min="4" max="4" width="18" customWidth="1"/>
    <col min="5" max="5" width="12" customWidth="1"/>
    <col min="6" max="7" width="14" customWidth="1"/>
    <col min="8" max="8" width="16" customWidth="1"/>
    <col min="9" max="9" width="18" customWidth="1"/>
    <col min="10" max="10" width="16" customWidth="1"/>
    <col min="11" max="11" width="14" customWidth="1"/>
  </cols>
  <sheetData>
    <row r="1" spans="1:11" ht="15" customHeight="1" x14ac:dyDescent="0.3">
      <c r="A1" s="26" t="s">
        <v>113</v>
      </c>
    </row>
    <row r="2" spans="1:11" ht="30" customHeight="1" x14ac:dyDescent="0.3">
      <c r="A2" s="1" t="s">
        <v>1</v>
      </c>
      <c r="B2" s="1" t="s">
        <v>114</v>
      </c>
      <c r="C2" s="1" t="s">
        <v>115</v>
      </c>
      <c r="D2" s="1" t="s">
        <v>116</v>
      </c>
      <c r="E2" s="1" t="s">
        <v>117</v>
      </c>
      <c r="F2" s="1" t="s">
        <v>118</v>
      </c>
      <c r="G2" s="1" t="s">
        <v>119</v>
      </c>
      <c r="H2" s="1" t="s">
        <v>120</v>
      </c>
      <c r="I2" s="1" t="s">
        <v>121</v>
      </c>
      <c r="J2" s="1" t="s">
        <v>122</v>
      </c>
      <c r="K2" s="1" t="s">
        <v>123</v>
      </c>
    </row>
    <row r="3" spans="1:11" ht="15" customHeight="1" x14ac:dyDescent="0.3">
      <c r="A3" s="27" t="s">
        <v>124</v>
      </c>
      <c r="B3" s="27"/>
      <c r="C3" s="27"/>
      <c r="D3" s="27"/>
      <c r="E3" s="27">
        <v>12000</v>
      </c>
      <c r="F3" s="27">
        <v>540</v>
      </c>
      <c r="G3" s="27">
        <v>95</v>
      </c>
      <c r="H3" s="27">
        <v>60</v>
      </c>
      <c r="I3" s="27">
        <v>4</v>
      </c>
      <c r="J3" s="28">
        <f t="shared" ref="J3:J10" si="0">IFERROR(F3/E3,0)</f>
        <v>4.4999999999999998E-2</v>
      </c>
      <c r="K3" s="27">
        <v>8000</v>
      </c>
    </row>
    <row r="4" spans="1:11" ht="15" customHeight="1" x14ac:dyDescent="0.3">
      <c r="A4" s="22">
        <v>1</v>
      </c>
      <c r="B4" s="29">
        <v>46319</v>
      </c>
      <c r="C4" s="29">
        <v>46325</v>
      </c>
      <c r="D4" s="22">
        <f>COUNTIF('Content Calendar'!$B$2:$B$29,A4)</f>
        <v>5</v>
      </c>
      <c r="E4" s="30"/>
      <c r="F4" s="30"/>
      <c r="G4" s="30"/>
      <c r="H4" s="30"/>
      <c r="I4" s="30"/>
      <c r="J4" s="31">
        <f t="shared" si="0"/>
        <v>0</v>
      </c>
      <c r="K4" s="30"/>
    </row>
    <row r="5" spans="1:11" ht="15" customHeight="1" x14ac:dyDescent="0.3">
      <c r="A5" s="22">
        <v>2</v>
      </c>
      <c r="B5" s="29">
        <v>46326</v>
      </c>
      <c r="C5" s="29">
        <v>46332</v>
      </c>
      <c r="D5" s="22">
        <f>COUNTIF('Content Calendar'!$B$2:$B$29,A5)</f>
        <v>5</v>
      </c>
      <c r="E5" s="30"/>
      <c r="F5" s="30"/>
      <c r="G5" s="30"/>
      <c r="H5" s="30"/>
      <c r="I5" s="30"/>
      <c r="J5" s="31">
        <f t="shared" si="0"/>
        <v>0</v>
      </c>
      <c r="K5" s="30"/>
    </row>
    <row r="6" spans="1:11" ht="15" customHeight="1" x14ac:dyDescent="0.3">
      <c r="A6" s="22">
        <v>3</v>
      </c>
      <c r="B6" s="29">
        <v>46333</v>
      </c>
      <c r="C6" s="29">
        <v>46339</v>
      </c>
      <c r="D6" s="22">
        <f>COUNTIF('Content Calendar'!$B$2:$B$29,A6)</f>
        <v>5</v>
      </c>
      <c r="E6" s="30"/>
      <c r="F6" s="30"/>
      <c r="G6" s="30"/>
      <c r="H6" s="30"/>
      <c r="I6" s="30"/>
      <c r="J6" s="31">
        <f t="shared" si="0"/>
        <v>0</v>
      </c>
      <c r="K6" s="30"/>
    </row>
    <row r="7" spans="1:11" ht="15" customHeight="1" x14ac:dyDescent="0.3">
      <c r="A7" s="22">
        <v>4</v>
      </c>
      <c r="B7" s="29">
        <v>46340</v>
      </c>
      <c r="C7" s="29">
        <v>46346</v>
      </c>
      <c r="D7" s="22">
        <f>COUNTIF('Content Calendar'!$B$2:$B$29,A7)</f>
        <v>5</v>
      </c>
      <c r="E7" s="30"/>
      <c r="F7" s="30"/>
      <c r="G7" s="30"/>
      <c r="H7" s="30"/>
      <c r="I7" s="30"/>
      <c r="J7" s="31">
        <f t="shared" si="0"/>
        <v>0</v>
      </c>
      <c r="K7" s="30"/>
    </row>
    <row r="8" spans="1:11" ht="15" customHeight="1" x14ac:dyDescent="0.3">
      <c r="A8" s="22">
        <v>5</v>
      </c>
      <c r="B8" s="29">
        <v>46347</v>
      </c>
      <c r="C8" s="29">
        <v>46353</v>
      </c>
      <c r="D8" s="22">
        <f>COUNTIF('Content Calendar'!$B$2:$B$29,A8)</f>
        <v>5</v>
      </c>
      <c r="E8" s="30"/>
      <c r="F8" s="30"/>
      <c r="G8" s="30"/>
      <c r="H8" s="30"/>
      <c r="I8" s="30"/>
      <c r="J8" s="31">
        <f t="shared" si="0"/>
        <v>0</v>
      </c>
      <c r="K8" s="30"/>
    </row>
    <row r="9" spans="1:11" ht="15" customHeight="1" x14ac:dyDescent="0.3">
      <c r="A9" s="22">
        <v>6</v>
      </c>
      <c r="B9" s="29">
        <v>46354</v>
      </c>
      <c r="C9" s="29">
        <v>46356</v>
      </c>
      <c r="D9" s="22">
        <f>COUNTIF('Content Calendar'!$B$2:$B$29,A9)</f>
        <v>3</v>
      </c>
      <c r="E9" s="30"/>
      <c r="F9" s="30"/>
      <c r="G9" s="30"/>
      <c r="H9" s="30"/>
      <c r="I9" s="30"/>
      <c r="J9" s="31">
        <f t="shared" si="0"/>
        <v>0</v>
      </c>
      <c r="K9" s="30"/>
    </row>
    <row r="10" spans="1:11" ht="15" customHeight="1" x14ac:dyDescent="0.3">
      <c r="A10" s="23" t="s">
        <v>87</v>
      </c>
      <c r="B10" s="23"/>
      <c r="C10" s="23"/>
      <c r="D10" s="23">
        <f t="shared" ref="D10:I10" si="1">SUM(D4:D9)</f>
        <v>28</v>
      </c>
      <c r="E10" s="23">
        <f t="shared" si="1"/>
        <v>0</v>
      </c>
      <c r="F10" s="23">
        <f t="shared" si="1"/>
        <v>0</v>
      </c>
      <c r="G10" s="23">
        <f t="shared" si="1"/>
        <v>0</v>
      </c>
      <c r="H10" s="23">
        <f t="shared" si="1"/>
        <v>0</v>
      </c>
      <c r="I10" s="23">
        <f t="shared" si="1"/>
        <v>0</v>
      </c>
      <c r="J10" s="32">
        <f t="shared" si="0"/>
        <v>0</v>
      </c>
      <c r="K10" s="23">
        <f>SUM(K4:K9)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 Calendar</vt:lpstr>
      <vt:lpstr>Summary</vt:lpstr>
      <vt:lpstr>Team &amp; Roles</vt:lpstr>
      <vt:lpstr>Weekly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abdelrhman king_ragnam</cp:lastModifiedBy>
  <cp:revision>0</cp:revision>
  <dcterms:created xsi:type="dcterms:W3CDTF">2026-10-23T07:41:41Z</dcterms:created>
  <dcterms:modified xsi:type="dcterms:W3CDTF">2026-10-23T14:06:14Z</dcterms:modified>
  <dc:language>en-US</dc:language>
</cp:coreProperties>
</file>